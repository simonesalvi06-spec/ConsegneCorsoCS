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e/Documents/GitHub/RA_BuildWeek/"/>
    </mc:Choice>
  </mc:AlternateContent>
  <xr:revisionPtr revIDLastSave="0" documentId="13_ncr:1_{8990749E-ACF4-C340-A034-ECE8556A0101}" xr6:coauthVersionLast="45" xr6:coauthVersionMax="45" xr10:uidLastSave="{00000000-0000-0000-0000-000000000000}"/>
  <bookViews>
    <workbookView xWindow="0" yWindow="660" windowWidth="29400" windowHeight="17320" xr2:uid="{F89C5B4E-CFE7-BA48-9F9E-BAAE3F9EC7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6" i="1" l="1"/>
  <c r="L25" i="1"/>
  <c r="D50" i="1"/>
  <c r="D46" i="1"/>
  <c r="D43" i="1"/>
  <c r="J9" i="1"/>
  <c r="N25" i="1" l="1"/>
  <c r="D52" i="1" s="1"/>
  <c r="J19" i="1"/>
  <c r="J18" i="1"/>
  <c r="J16" i="1"/>
  <c r="J15" i="1"/>
  <c r="J13" i="1"/>
  <c r="J8" i="1"/>
  <c r="J10" i="1"/>
  <c r="J11" i="1"/>
  <c r="J12" i="1"/>
  <c r="J7" i="1"/>
  <c r="Q6" i="1"/>
  <c r="K23" i="1" s="1"/>
  <c r="L23" i="1" s="1"/>
  <c r="Q4" i="1"/>
  <c r="K12" i="1" s="1"/>
  <c r="Q5" i="1"/>
  <c r="K21" i="1" s="1"/>
  <c r="L21" i="1" s="1"/>
  <c r="Q3" i="1"/>
  <c r="K22" i="1" l="1"/>
  <c r="L22" i="1" s="1"/>
  <c r="K9" i="1"/>
  <c r="L9" i="1" s="1"/>
  <c r="K16" i="1"/>
  <c r="L16" i="1" s="1"/>
  <c r="K7" i="1"/>
  <c r="K8" i="1"/>
  <c r="L8" i="1" s="1"/>
  <c r="N23" i="1"/>
  <c r="K10" i="1"/>
  <c r="L10" i="1" s="1"/>
  <c r="K11" i="1"/>
  <c r="L11" i="1" s="1"/>
  <c r="K18" i="1"/>
  <c r="L18" i="1" s="1"/>
  <c r="N19" i="1" s="1"/>
  <c r="K13" i="1"/>
  <c r="L13" i="1" s="1"/>
  <c r="K15" i="1"/>
  <c r="L15" i="1" s="1"/>
  <c r="K19" i="1"/>
  <c r="L19" i="1" s="1"/>
  <c r="Q10" i="1"/>
  <c r="Q12" i="1" s="1"/>
  <c r="L12" i="1"/>
  <c r="L7" i="1"/>
  <c r="N16" i="1" l="1"/>
  <c r="N13" i="1"/>
  <c r="D40" i="1" s="1"/>
  <c r="R26" i="1" l="1"/>
  <c r="C54" i="1"/>
  <c r="P10" i="1"/>
</calcChain>
</file>

<file path=xl/sharedStrings.xml><?xml version="1.0" encoding="utf-8"?>
<sst xmlns="http://schemas.openxmlformats.org/spreadsheetml/2006/main" count="107" uniqueCount="42">
  <si>
    <t>PT</t>
  </si>
  <si>
    <t>P1</t>
  </si>
  <si>
    <t>P2</t>
  </si>
  <si>
    <t>P3</t>
  </si>
  <si>
    <t>P4</t>
  </si>
  <si>
    <t>P5</t>
  </si>
  <si>
    <t>Prezzo Unit.</t>
  </si>
  <si>
    <t>Prezzo Tot.</t>
  </si>
  <si>
    <t>gg</t>
  </si>
  <si>
    <t>Unit.</t>
  </si>
  <si>
    <t>Qt Totale</t>
  </si>
  <si>
    <t xml:space="preserve">Totale </t>
  </si>
  <si>
    <t xml:space="preserve">Tecnico Senior </t>
  </si>
  <si>
    <t>Installazione DHCP Server</t>
  </si>
  <si>
    <t>Configurazione DHCP Server</t>
  </si>
  <si>
    <t>Installazione DVWA Server</t>
  </si>
  <si>
    <t>Configurazione DVWA Server</t>
  </si>
  <si>
    <t>Installazione NAS</t>
  </si>
  <si>
    <t>Configurazione NAS</t>
  </si>
  <si>
    <t>PM</t>
  </si>
  <si>
    <t xml:space="preserve">Assistenza commistioning </t>
  </si>
  <si>
    <t xml:space="preserve">Assistenza migrazione </t>
  </si>
  <si>
    <t xml:space="preserve">Configurazione Switch </t>
  </si>
  <si>
    <t xml:space="preserve">Commistioning Switch </t>
  </si>
  <si>
    <t>Coordinamento attività, sopralluoghi, SAL</t>
  </si>
  <si>
    <t xml:space="preserve">Supporto progettazione </t>
  </si>
  <si>
    <t xml:space="preserve">Extra (riunioni, modifiche, integrazioni) </t>
  </si>
  <si>
    <t>Core e CED</t>
  </si>
  <si>
    <t>Preriferiche HW</t>
  </si>
  <si>
    <t xml:space="preserve">Project Manag. </t>
  </si>
  <si>
    <t>Extra</t>
  </si>
  <si>
    <t xml:space="preserve">Tecnico Impiantista </t>
  </si>
  <si>
    <t>€/h</t>
  </si>
  <si>
    <t>€/gg</t>
  </si>
  <si>
    <t>Progettista Senior</t>
  </si>
  <si>
    <t>Assistenza Core e CED</t>
  </si>
  <si>
    <t>Quota Gestione Commessa</t>
  </si>
  <si>
    <t xml:space="preserve"> + IVA</t>
  </si>
  <si>
    <t xml:space="preserve">Installazione sistemi </t>
  </si>
  <si>
    <t>+ IVA</t>
  </si>
  <si>
    <t>Totale</t>
  </si>
  <si>
    <t>Configurazione VLAN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</si>
</sst>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3" xfId="0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0" fillId="0" borderId="0" xfId="0" applyAlignment="1">
      <alignment horizontal="left"/>
    </xf>
    <xf numFmtId="44" fontId="0" fillId="0" borderId="1" xfId="1" applyFont="1" applyBorder="1"/>
    <xf numFmtId="44" fontId="0" fillId="0" borderId="7" xfId="1" applyFont="1" applyBorder="1"/>
    <xf numFmtId="0" fontId="2" fillId="0" borderId="15" xfId="0" applyFont="1" applyBorder="1"/>
    <xf numFmtId="0" fontId="0" fillId="0" borderId="16" xfId="0" applyBorder="1" applyAlignment="1">
      <alignment horizontal="left"/>
    </xf>
    <xf numFmtId="0" fontId="0" fillId="0" borderId="17" xfId="0" applyBorder="1"/>
    <xf numFmtId="44" fontId="0" fillId="0" borderId="17" xfId="1" applyFont="1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 applyAlignment="1">
      <alignment horizontal="left"/>
    </xf>
    <xf numFmtId="0" fontId="0" fillId="0" borderId="23" xfId="0" applyBorder="1"/>
    <xf numFmtId="44" fontId="0" fillId="0" borderId="23" xfId="1" applyFont="1" applyBorder="1"/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44" fontId="0" fillId="0" borderId="20" xfId="0" applyNumberFormat="1" applyBorder="1"/>
    <xf numFmtId="44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5" borderId="7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1" xfId="0" applyFill="1" applyBorder="1"/>
    <xf numFmtId="44" fontId="0" fillId="3" borderId="0" xfId="1" applyFont="1" applyFill="1" applyBorder="1"/>
    <xf numFmtId="0" fontId="0" fillId="5" borderId="6" xfId="0" applyFill="1" applyBorder="1"/>
    <xf numFmtId="0" fontId="0" fillId="5" borderId="3" xfId="0" applyFill="1" applyBorder="1"/>
    <xf numFmtId="0" fontId="0" fillId="4" borderId="6" xfId="0" applyFill="1" applyBorder="1"/>
    <xf numFmtId="44" fontId="0" fillId="4" borderId="3" xfId="1" applyFont="1" applyFill="1" applyBorder="1"/>
    <xf numFmtId="44" fontId="0" fillId="4" borderId="6" xfId="1" applyFont="1" applyFill="1" applyBorder="1"/>
    <xf numFmtId="49" fontId="0" fillId="4" borderId="3" xfId="0" applyNumberFormat="1" applyFill="1" applyBorder="1"/>
    <xf numFmtId="44" fontId="2" fillId="0" borderId="9" xfId="1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77B9-232E-AC42-B727-8838A2EA36A1}">
  <dimension ref="A3:U54"/>
  <sheetViews>
    <sheetView tabSelected="1" zoomScale="120" zoomScaleNormal="120" workbookViewId="0">
      <selection activeCell="G47" sqref="G47"/>
    </sheetView>
  </sheetViews>
  <sheetFormatPr baseColWidth="10" defaultRowHeight="16" x14ac:dyDescent="0.2"/>
  <cols>
    <col min="1" max="1" width="20.33203125" customWidth="1"/>
    <col min="2" max="2" width="36.5" customWidth="1"/>
    <col min="3" max="3" width="11.5" customWidth="1"/>
    <col min="11" max="11" width="13.33203125" customWidth="1"/>
    <col min="16" max="16" width="17.83203125" bestFit="1" customWidth="1"/>
    <col min="18" max="18" width="12" bestFit="1" customWidth="1"/>
    <col min="19" max="19" width="6" customWidth="1"/>
    <col min="20" max="20" width="9.5" bestFit="1" customWidth="1"/>
  </cols>
  <sheetData>
    <row r="3" spans="1:21" ht="17" thickBot="1" x14ac:dyDescent="0.25">
      <c r="P3" t="s">
        <v>12</v>
      </c>
      <c r="Q3">
        <f>T3*S3</f>
        <v>560</v>
      </c>
      <c r="R3" t="s">
        <v>33</v>
      </c>
      <c r="S3" s="1">
        <v>8</v>
      </c>
      <c r="T3">
        <v>70</v>
      </c>
      <c r="U3" s="7" t="s">
        <v>32</v>
      </c>
    </row>
    <row r="4" spans="1:21" x14ac:dyDescent="0.2">
      <c r="A4" s="49" t="s">
        <v>38</v>
      </c>
      <c r="B4" s="50"/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9</v>
      </c>
      <c r="J4" s="5" t="s">
        <v>10</v>
      </c>
      <c r="K4" s="5" t="s">
        <v>6</v>
      </c>
      <c r="L4" s="6" t="s">
        <v>7</v>
      </c>
      <c r="P4" t="s">
        <v>31</v>
      </c>
      <c r="Q4">
        <f t="shared" ref="Q4:Q5" si="0">T4*S4</f>
        <v>400</v>
      </c>
      <c r="R4" t="s">
        <v>33</v>
      </c>
      <c r="S4" s="1">
        <v>8</v>
      </c>
      <c r="T4">
        <v>50</v>
      </c>
      <c r="U4" s="7" t="s">
        <v>32</v>
      </c>
    </row>
    <row r="5" spans="1:21" ht="17" thickBo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9"/>
      <c r="L5" s="3"/>
      <c r="P5" t="s">
        <v>19</v>
      </c>
      <c r="Q5">
        <f t="shared" si="0"/>
        <v>560</v>
      </c>
      <c r="R5" t="s">
        <v>33</v>
      </c>
      <c r="S5" s="1">
        <v>8</v>
      </c>
      <c r="T5">
        <v>70</v>
      </c>
      <c r="U5" s="7" t="s">
        <v>32</v>
      </c>
    </row>
    <row r="6" spans="1:21" x14ac:dyDescent="0.2">
      <c r="A6" s="10" t="s">
        <v>27</v>
      </c>
      <c r="B6" s="11"/>
      <c r="C6" s="12"/>
      <c r="D6" s="12"/>
      <c r="E6" s="12"/>
      <c r="F6" s="12"/>
      <c r="G6" s="12"/>
      <c r="H6" s="12"/>
      <c r="I6" s="12"/>
      <c r="J6" s="12"/>
      <c r="K6" s="13"/>
      <c r="L6" s="14"/>
      <c r="P6" t="s">
        <v>34</v>
      </c>
      <c r="Q6">
        <f t="shared" ref="Q6" si="1">T6*S6</f>
        <v>640</v>
      </c>
      <c r="R6" t="s">
        <v>33</v>
      </c>
      <c r="S6" s="1">
        <v>8</v>
      </c>
      <c r="T6">
        <v>80</v>
      </c>
      <c r="U6" s="7" t="s">
        <v>32</v>
      </c>
    </row>
    <row r="7" spans="1:21" x14ac:dyDescent="0.2">
      <c r="A7" s="15" t="s">
        <v>12</v>
      </c>
      <c r="B7" s="4" t="s">
        <v>13</v>
      </c>
      <c r="C7" s="2">
        <v>0.5</v>
      </c>
      <c r="D7" s="2"/>
      <c r="E7" s="2"/>
      <c r="F7" s="2"/>
      <c r="G7" s="2"/>
      <c r="H7" s="2"/>
      <c r="I7" s="2" t="s">
        <v>8</v>
      </c>
      <c r="J7" s="2">
        <f t="shared" ref="J7:J13" si="2">SUM(C7:H7)</f>
        <v>0.5</v>
      </c>
      <c r="K7" s="8">
        <f t="shared" ref="K7:K13" si="3">_xlfn.IFNA((VLOOKUP(A7,$P$3:$Q$6,2,)), 0)</f>
        <v>560</v>
      </c>
      <c r="L7" s="22">
        <f>K7*J7</f>
        <v>280</v>
      </c>
    </row>
    <row r="8" spans="1:21" x14ac:dyDescent="0.2">
      <c r="A8" s="15" t="s">
        <v>12</v>
      </c>
      <c r="B8" s="4" t="s">
        <v>14</v>
      </c>
      <c r="C8" s="2">
        <v>1</v>
      </c>
      <c r="D8" s="2"/>
      <c r="E8" s="2"/>
      <c r="F8" s="2"/>
      <c r="G8" s="2"/>
      <c r="H8" s="2"/>
      <c r="I8" s="2" t="s">
        <v>8</v>
      </c>
      <c r="J8" s="2">
        <f t="shared" si="2"/>
        <v>1</v>
      </c>
      <c r="K8" s="8">
        <f t="shared" si="3"/>
        <v>560</v>
      </c>
      <c r="L8" s="22">
        <f t="shared" ref="L8:L23" si="4">K8*J8</f>
        <v>560</v>
      </c>
    </row>
    <row r="9" spans="1:21" x14ac:dyDescent="0.2">
      <c r="A9" s="15" t="s">
        <v>12</v>
      </c>
      <c r="B9" s="4" t="s">
        <v>41</v>
      </c>
      <c r="C9" s="2">
        <v>1</v>
      </c>
      <c r="D9" s="2"/>
      <c r="E9" s="2"/>
      <c r="F9" s="2"/>
      <c r="G9" s="2"/>
      <c r="H9" s="2"/>
      <c r="I9" s="2" t="s">
        <v>8</v>
      </c>
      <c r="J9" s="2">
        <f t="shared" ref="J9" si="5">SUM(C9:H9)</f>
        <v>1</v>
      </c>
      <c r="K9" s="8">
        <f t="shared" ref="K9" si="6">_xlfn.IFNA((VLOOKUP(A9,$P$3:$Q$6,2,)), 0)</f>
        <v>560</v>
      </c>
      <c r="L9" s="22">
        <f t="shared" ref="L9" si="7">K9*J9</f>
        <v>560</v>
      </c>
    </row>
    <row r="10" spans="1:21" x14ac:dyDescent="0.2">
      <c r="A10" s="15" t="s">
        <v>12</v>
      </c>
      <c r="B10" s="4" t="s">
        <v>15</v>
      </c>
      <c r="C10" s="2">
        <v>0.5</v>
      </c>
      <c r="D10" s="2"/>
      <c r="E10" s="2"/>
      <c r="F10" s="2"/>
      <c r="G10" s="2"/>
      <c r="H10" s="2"/>
      <c r="I10" s="2" t="s">
        <v>8</v>
      </c>
      <c r="J10" s="2">
        <f t="shared" si="2"/>
        <v>0.5</v>
      </c>
      <c r="K10" s="8">
        <f t="shared" si="3"/>
        <v>560</v>
      </c>
      <c r="L10" s="22">
        <f t="shared" si="4"/>
        <v>280</v>
      </c>
      <c r="P10" s="23">
        <f>O26</f>
        <v>11000</v>
      </c>
      <c r="Q10">
        <f>SUM(J7:J23)</f>
        <v>16.100000000000001</v>
      </c>
      <c r="S10" s="1"/>
      <c r="T10" s="23"/>
      <c r="U10" s="23"/>
    </row>
    <row r="11" spans="1:21" x14ac:dyDescent="0.2">
      <c r="A11" s="15" t="s">
        <v>12</v>
      </c>
      <c r="B11" s="4" t="s">
        <v>16</v>
      </c>
      <c r="C11" s="2">
        <v>1</v>
      </c>
      <c r="D11" s="2"/>
      <c r="E11" s="2"/>
      <c r="F11" s="2"/>
      <c r="G11" s="2"/>
      <c r="H11" s="2"/>
      <c r="I11" s="2" t="s">
        <v>8</v>
      </c>
      <c r="J11" s="2">
        <f t="shared" si="2"/>
        <v>1</v>
      </c>
      <c r="K11" s="8">
        <f t="shared" si="3"/>
        <v>560</v>
      </c>
      <c r="L11" s="22">
        <f t="shared" si="4"/>
        <v>560</v>
      </c>
      <c r="Q11">
        <v>3</v>
      </c>
    </row>
    <row r="12" spans="1:21" x14ac:dyDescent="0.2">
      <c r="A12" s="15" t="s">
        <v>31</v>
      </c>
      <c r="B12" s="4" t="s">
        <v>17</v>
      </c>
      <c r="C12" s="2">
        <v>0.5</v>
      </c>
      <c r="D12" s="2"/>
      <c r="E12" s="2"/>
      <c r="F12" s="2"/>
      <c r="G12" s="2"/>
      <c r="H12" s="2"/>
      <c r="I12" s="2" t="s">
        <v>8</v>
      </c>
      <c r="J12" s="2">
        <f t="shared" si="2"/>
        <v>0.5</v>
      </c>
      <c r="K12" s="8">
        <f t="shared" si="3"/>
        <v>400</v>
      </c>
      <c r="L12" s="22">
        <f t="shared" si="4"/>
        <v>200</v>
      </c>
      <c r="Q12">
        <f>Q10/3</f>
        <v>5.3666666666666671</v>
      </c>
    </row>
    <row r="13" spans="1:21" ht="17" thickBot="1" x14ac:dyDescent="0.25">
      <c r="A13" s="15" t="s">
        <v>12</v>
      </c>
      <c r="B13" s="17" t="s">
        <v>18</v>
      </c>
      <c r="C13" s="18">
        <v>1</v>
      </c>
      <c r="D13" s="18"/>
      <c r="E13" s="18"/>
      <c r="F13" s="18"/>
      <c r="G13" s="18"/>
      <c r="H13" s="18"/>
      <c r="I13" s="18" t="s">
        <v>8</v>
      </c>
      <c r="J13" s="2">
        <f t="shared" si="2"/>
        <v>1</v>
      </c>
      <c r="K13" s="8">
        <f t="shared" si="3"/>
        <v>560</v>
      </c>
      <c r="L13" s="22">
        <f t="shared" si="4"/>
        <v>560</v>
      </c>
      <c r="N13" s="23">
        <f>SUM(L7:L13)</f>
        <v>3000</v>
      </c>
    </row>
    <row r="14" spans="1:21" x14ac:dyDescent="0.2">
      <c r="A14" s="10" t="s">
        <v>35</v>
      </c>
      <c r="B14" s="11"/>
      <c r="C14" s="12"/>
      <c r="D14" s="12"/>
      <c r="E14" s="12"/>
      <c r="F14" s="12"/>
      <c r="G14" s="12"/>
      <c r="H14" s="12"/>
      <c r="I14" s="12"/>
      <c r="J14" s="12"/>
      <c r="K14" s="13"/>
      <c r="L14" s="22"/>
    </row>
    <row r="15" spans="1:21" x14ac:dyDescent="0.2">
      <c r="A15" s="15" t="s">
        <v>12</v>
      </c>
      <c r="B15" s="4" t="s">
        <v>20</v>
      </c>
      <c r="C15" s="2">
        <v>1</v>
      </c>
      <c r="D15" s="2"/>
      <c r="E15" s="2"/>
      <c r="F15" s="2"/>
      <c r="G15" s="2"/>
      <c r="H15" s="2"/>
      <c r="I15" s="2" t="s">
        <v>8</v>
      </c>
      <c r="J15" s="2">
        <f>SUM(C15:H15)</f>
        <v>1</v>
      </c>
      <c r="K15" s="8">
        <f>_xlfn.IFNA((VLOOKUP(A15,$P$3:$Q$6,2,)), 0)</f>
        <v>560</v>
      </c>
      <c r="L15" s="22">
        <f t="shared" si="4"/>
        <v>560</v>
      </c>
    </row>
    <row r="16" spans="1:21" ht="17" thickBot="1" x14ac:dyDescent="0.25">
      <c r="A16" s="15" t="s">
        <v>12</v>
      </c>
      <c r="B16" s="17" t="s">
        <v>21</v>
      </c>
      <c r="C16" s="18">
        <v>1</v>
      </c>
      <c r="D16" s="18"/>
      <c r="E16" s="18"/>
      <c r="F16" s="18"/>
      <c r="G16" s="18"/>
      <c r="H16" s="18"/>
      <c r="I16" s="18" t="s">
        <v>8</v>
      </c>
      <c r="J16" s="2">
        <f>SUM(C16:H16)</f>
        <v>1</v>
      </c>
      <c r="K16" s="8">
        <f>_xlfn.IFNA((VLOOKUP(A16,$P$3:$Q$6,2,)), 0)</f>
        <v>560</v>
      </c>
      <c r="L16" s="22">
        <f t="shared" si="4"/>
        <v>560</v>
      </c>
      <c r="N16" s="23">
        <f>SUM(L15:L16)</f>
        <v>1120</v>
      </c>
    </row>
    <row r="17" spans="1:18" x14ac:dyDescent="0.2">
      <c r="A17" s="10" t="s">
        <v>28</v>
      </c>
      <c r="B17" s="20"/>
      <c r="C17" s="12"/>
      <c r="D17" s="12"/>
      <c r="E17" s="12"/>
      <c r="F17" s="12"/>
      <c r="G17" s="12"/>
      <c r="H17" s="12"/>
      <c r="I17" s="12"/>
      <c r="J17" s="12"/>
      <c r="K17" s="13"/>
      <c r="L17" s="22"/>
    </row>
    <row r="18" spans="1:18" x14ac:dyDescent="0.2">
      <c r="A18" s="15" t="s">
        <v>12</v>
      </c>
      <c r="B18" s="4" t="s">
        <v>23</v>
      </c>
      <c r="C18" s="2">
        <v>0.3</v>
      </c>
      <c r="D18" s="2">
        <v>0.3</v>
      </c>
      <c r="E18" s="2">
        <v>0.3</v>
      </c>
      <c r="F18" s="2">
        <v>0.3</v>
      </c>
      <c r="G18" s="2">
        <v>0.3</v>
      </c>
      <c r="H18" s="2">
        <v>0.3</v>
      </c>
      <c r="I18" s="2" t="s">
        <v>8</v>
      </c>
      <c r="J18" s="2">
        <f>SUM(C18:H18)</f>
        <v>1.8</v>
      </c>
      <c r="K18" s="8">
        <f>_xlfn.IFNA((VLOOKUP(A18,$P$3:$Q$6,2,)), 0)</f>
        <v>560</v>
      </c>
      <c r="L18" s="22">
        <f t="shared" si="4"/>
        <v>1008</v>
      </c>
    </row>
    <row r="19" spans="1:18" ht="17" thickBot="1" x14ac:dyDescent="0.25">
      <c r="A19" s="15" t="s">
        <v>12</v>
      </c>
      <c r="B19" s="17" t="s">
        <v>22</v>
      </c>
      <c r="C19" s="2">
        <v>0.3</v>
      </c>
      <c r="D19" s="2">
        <v>0.3</v>
      </c>
      <c r="E19" s="2">
        <v>0.3</v>
      </c>
      <c r="F19" s="2">
        <v>0.3</v>
      </c>
      <c r="G19" s="2">
        <v>0.3</v>
      </c>
      <c r="H19" s="2">
        <v>0.3</v>
      </c>
      <c r="I19" s="18" t="s">
        <v>8</v>
      </c>
      <c r="J19" s="2">
        <f>SUM(C19:H19)</f>
        <v>1.8</v>
      </c>
      <c r="K19" s="8">
        <f>_xlfn.IFNA((VLOOKUP(A19,$P$3:$Q$6,2,)), 0)</f>
        <v>560</v>
      </c>
      <c r="L19" s="22">
        <f t="shared" si="4"/>
        <v>1008</v>
      </c>
      <c r="N19" s="23">
        <f>SUM(L18:L19)</f>
        <v>2016</v>
      </c>
    </row>
    <row r="20" spans="1:18" x14ac:dyDescent="0.2">
      <c r="A20" s="10" t="s">
        <v>29</v>
      </c>
      <c r="B20" s="20"/>
      <c r="C20" s="41"/>
      <c r="D20" s="42"/>
      <c r="E20" s="42"/>
      <c r="F20" s="42"/>
      <c r="G20" s="42"/>
      <c r="H20" s="42"/>
      <c r="I20" s="12"/>
      <c r="J20" s="12"/>
      <c r="K20" s="13"/>
      <c r="L20" s="22"/>
    </row>
    <row r="21" spans="1:18" x14ac:dyDescent="0.2">
      <c r="A21" s="15" t="s">
        <v>19</v>
      </c>
      <c r="B21" s="4" t="s">
        <v>36</v>
      </c>
      <c r="C21" s="43"/>
      <c r="D21" s="44"/>
      <c r="E21" s="44"/>
      <c r="F21" s="44"/>
      <c r="G21" s="44"/>
      <c r="H21" s="44"/>
      <c r="I21" s="2" t="s">
        <v>8</v>
      </c>
      <c r="J21" s="2">
        <v>1</v>
      </c>
      <c r="K21" s="8">
        <f>_xlfn.IFNA((VLOOKUP(A21,$P$3:$Q$6,2,)), 0)</f>
        <v>560</v>
      </c>
      <c r="L21" s="22">
        <f t="shared" si="4"/>
        <v>560</v>
      </c>
    </row>
    <row r="22" spans="1:18" x14ac:dyDescent="0.2">
      <c r="A22" s="15" t="s">
        <v>12</v>
      </c>
      <c r="B22" s="4" t="s">
        <v>24</v>
      </c>
      <c r="C22" s="43"/>
      <c r="D22" s="44"/>
      <c r="E22" s="44"/>
      <c r="F22" s="44"/>
      <c r="G22" s="44"/>
      <c r="H22" s="44"/>
      <c r="I22" s="2" t="s">
        <v>8</v>
      </c>
      <c r="J22" s="2">
        <v>2</v>
      </c>
      <c r="K22" s="8">
        <f>_xlfn.IFNA((VLOOKUP(A22,$P$3:$Q$6,2,)), 0)</f>
        <v>560</v>
      </c>
      <c r="L22" s="22">
        <f t="shared" si="4"/>
        <v>1120</v>
      </c>
    </row>
    <row r="23" spans="1:18" ht="17" thickBot="1" x14ac:dyDescent="0.25">
      <c r="A23" s="15" t="s">
        <v>34</v>
      </c>
      <c r="B23" s="17" t="s">
        <v>25</v>
      </c>
      <c r="C23" s="45"/>
      <c r="D23" s="46"/>
      <c r="E23" s="46"/>
      <c r="F23" s="46"/>
      <c r="G23" s="46"/>
      <c r="H23" s="46"/>
      <c r="I23" s="18" t="s">
        <v>8</v>
      </c>
      <c r="J23" s="2">
        <v>2</v>
      </c>
      <c r="K23" s="8">
        <f>_xlfn.IFNA((VLOOKUP(A23,$P$3:$Q$6,2,)), 0)</f>
        <v>640</v>
      </c>
      <c r="L23" s="22">
        <f t="shared" si="4"/>
        <v>1280</v>
      </c>
      <c r="N23" s="23">
        <f>SUM(L21:L23)</f>
        <v>2960</v>
      </c>
    </row>
    <row r="24" spans="1:18" x14ac:dyDescent="0.2">
      <c r="A24" s="10" t="s">
        <v>30</v>
      </c>
      <c r="B24" s="11"/>
      <c r="C24" s="12"/>
      <c r="D24" s="12"/>
      <c r="E24" s="12"/>
      <c r="F24" s="12"/>
      <c r="G24" s="12"/>
      <c r="H24" s="12"/>
      <c r="I24" s="12"/>
      <c r="J24" s="12"/>
      <c r="K24" s="13"/>
      <c r="L24" s="22"/>
    </row>
    <row r="25" spans="1:18" ht="17" thickBot="1" x14ac:dyDescent="0.25">
      <c r="A25" s="15"/>
      <c r="B25" s="4" t="s">
        <v>26</v>
      </c>
      <c r="C25" s="47"/>
      <c r="D25" s="48"/>
      <c r="E25" s="48"/>
      <c r="F25" s="48"/>
      <c r="G25" s="48"/>
      <c r="H25" s="48"/>
      <c r="I25" s="2"/>
      <c r="J25" s="2"/>
      <c r="K25" s="8">
        <v>2000</v>
      </c>
      <c r="L25" s="22">
        <f>K25</f>
        <v>2000</v>
      </c>
      <c r="N25" s="23">
        <f>L25</f>
        <v>2000</v>
      </c>
    </row>
    <row r="26" spans="1:18" ht="17" thickBot="1" x14ac:dyDescent="0.25">
      <c r="A26" s="16"/>
      <c r="B26" s="21"/>
      <c r="C26" s="18"/>
      <c r="D26" s="18"/>
      <c r="E26" s="18"/>
      <c r="F26" s="18"/>
      <c r="G26" s="18"/>
      <c r="H26" s="18"/>
      <c r="I26" s="18"/>
      <c r="J26" s="18"/>
      <c r="K26" s="19"/>
      <c r="L26" s="22"/>
      <c r="M26" s="51" t="s">
        <v>11</v>
      </c>
      <c r="N26" s="51"/>
      <c r="O26" s="39">
        <f>_xlfn.FLOOR.MATH((SUM(L5:L26)),100,1)</f>
        <v>11000</v>
      </c>
      <c r="P26" s="40"/>
      <c r="Q26" s="24" t="s">
        <v>37</v>
      </c>
      <c r="R26" s="23">
        <f>O26+(O26/100*22)</f>
        <v>13420</v>
      </c>
    </row>
    <row r="32" spans="1:18" x14ac:dyDescent="0.2">
      <c r="P32" t="s">
        <v>31</v>
      </c>
      <c r="Q32">
        <v>400</v>
      </c>
      <c r="R32" t="s">
        <v>33</v>
      </c>
    </row>
    <row r="33" spans="1:18" x14ac:dyDescent="0.2">
      <c r="P33" t="s">
        <v>19</v>
      </c>
      <c r="Q33">
        <v>560</v>
      </c>
      <c r="R33" t="s">
        <v>33</v>
      </c>
    </row>
    <row r="34" spans="1:18" x14ac:dyDescent="0.2">
      <c r="A34" s="33" t="s">
        <v>27</v>
      </c>
      <c r="B34" s="28" t="s">
        <v>13</v>
      </c>
      <c r="C34" s="27"/>
      <c r="D34" s="27"/>
      <c r="E34" s="26"/>
      <c r="P34" t="s">
        <v>34</v>
      </c>
      <c r="Q34">
        <v>640</v>
      </c>
      <c r="R34" t="s">
        <v>33</v>
      </c>
    </row>
    <row r="35" spans="1:18" x14ac:dyDescent="0.2">
      <c r="A35" s="27"/>
      <c r="B35" s="29" t="s">
        <v>14</v>
      </c>
      <c r="C35" s="27"/>
      <c r="D35" s="27"/>
      <c r="E35" s="26"/>
    </row>
    <row r="36" spans="1:18" x14ac:dyDescent="0.2">
      <c r="A36" s="27"/>
      <c r="B36" s="29" t="s">
        <v>41</v>
      </c>
      <c r="C36" s="27"/>
      <c r="D36" s="27"/>
      <c r="E36" s="26"/>
    </row>
    <row r="37" spans="1:18" x14ac:dyDescent="0.2">
      <c r="A37" s="27"/>
      <c r="B37" s="29" t="s">
        <v>15</v>
      </c>
      <c r="C37" s="27"/>
      <c r="D37" s="27"/>
      <c r="E37" s="26"/>
    </row>
    <row r="38" spans="1:18" x14ac:dyDescent="0.2">
      <c r="A38" s="27"/>
      <c r="B38" s="29" t="s">
        <v>16</v>
      </c>
      <c r="C38" s="27"/>
      <c r="D38" s="27"/>
      <c r="E38" s="26"/>
      <c r="P38">
        <v>7888</v>
      </c>
      <c r="Q38">
        <v>13.6</v>
      </c>
    </row>
    <row r="39" spans="1:18" x14ac:dyDescent="0.2">
      <c r="A39" s="27"/>
      <c r="B39" s="29" t="s">
        <v>17</v>
      </c>
      <c r="C39" s="27"/>
      <c r="D39" s="27"/>
      <c r="E39" s="26"/>
      <c r="Q39">
        <v>3</v>
      </c>
    </row>
    <row r="40" spans="1:18" x14ac:dyDescent="0.2">
      <c r="A40" s="27"/>
      <c r="B40" s="30" t="s">
        <v>18</v>
      </c>
      <c r="C40" s="35" t="s">
        <v>40</v>
      </c>
      <c r="D40" s="36">
        <f>N13</f>
        <v>3000</v>
      </c>
      <c r="E40" s="26"/>
      <c r="Q40">
        <v>4.5333333333333332</v>
      </c>
    </row>
    <row r="41" spans="1:18" x14ac:dyDescent="0.2">
      <c r="A41" s="25"/>
      <c r="B41" s="27"/>
      <c r="C41" s="27"/>
      <c r="D41" s="32"/>
      <c r="E41" s="26"/>
    </row>
    <row r="42" spans="1:18" x14ac:dyDescent="0.2">
      <c r="A42" s="31" t="s">
        <v>35</v>
      </c>
      <c r="B42" s="28" t="s">
        <v>20</v>
      </c>
      <c r="C42" s="27"/>
      <c r="D42" s="32"/>
      <c r="E42" s="26"/>
    </row>
    <row r="43" spans="1:18" x14ac:dyDescent="0.2">
      <c r="A43" s="27"/>
      <c r="B43" s="30" t="s">
        <v>21</v>
      </c>
      <c r="C43" s="35" t="s">
        <v>40</v>
      </c>
      <c r="D43" s="36">
        <f>N16</f>
        <v>1120</v>
      </c>
      <c r="E43" s="26"/>
    </row>
    <row r="44" spans="1:18" x14ac:dyDescent="0.2">
      <c r="A44" s="25"/>
      <c r="B44" s="27"/>
      <c r="C44" s="27"/>
      <c r="D44" s="32"/>
      <c r="E44" s="26"/>
    </row>
    <row r="45" spans="1:18" x14ac:dyDescent="0.2">
      <c r="A45" s="31" t="s">
        <v>28</v>
      </c>
      <c r="B45" s="28" t="s">
        <v>23</v>
      </c>
      <c r="C45" s="27"/>
      <c r="D45" s="32"/>
      <c r="E45" s="26"/>
    </row>
    <row r="46" spans="1:18" x14ac:dyDescent="0.2">
      <c r="A46" s="27"/>
      <c r="B46" s="30" t="s">
        <v>22</v>
      </c>
      <c r="C46" s="35" t="s">
        <v>40</v>
      </c>
      <c r="D46" s="36">
        <f>N19</f>
        <v>2016</v>
      </c>
      <c r="E46" s="26"/>
    </row>
    <row r="47" spans="1:18" x14ac:dyDescent="0.2">
      <c r="A47" s="25"/>
      <c r="B47" s="27"/>
      <c r="C47" s="27"/>
      <c r="D47" s="32"/>
      <c r="E47" s="26"/>
    </row>
    <row r="48" spans="1:18" x14ac:dyDescent="0.2">
      <c r="A48" s="31" t="s">
        <v>29</v>
      </c>
      <c r="B48" s="28" t="s">
        <v>36</v>
      </c>
      <c r="C48" s="27"/>
      <c r="D48" s="32"/>
      <c r="E48" s="26"/>
    </row>
    <row r="49" spans="1:18" x14ac:dyDescent="0.2">
      <c r="A49" s="27"/>
      <c r="B49" s="29" t="s">
        <v>24</v>
      </c>
      <c r="C49" s="27"/>
      <c r="D49" s="32"/>
      <c r="E49" s="26"/>
    </row>
    <row r="50" spans="1:18" x14ac:dyDescent="0.2">
      <c r="A50" s="27"/>
      <c r="B50" s="30" t="s">
        <v>25</v>
      </c>
      <c r="C50" s="35" t="s">
        <v>40</v>
      </c>
      <c r="D50" s="36">
        <f>N23</f>
        <v>2960</v>
      </c>
      <c r="E50" s="26"/>
    </row>
    <row r="51" spans="1:18" x14ac:dyDescent="0.2">
      <c r="A51" s="25"/>
      <c r="B51" s="27"/>
      <c r="C51" s="27"/>
      <c r="D51" s="32"/>
      <c r="E51" s="26"/>
    </row>
    <row r="52" spans="1:18" x14ac:dyDescent="0.2">
      <c r="A52" s="31" t="s">
        <v>30</v>
      </c>
      <c r="B52" s="31" t="s">
        <v>26</v>
      </c>
      <c r="C52" s="35" t="s">
        <v>40</v>
      </c>
      <c r="D52" s="36">
        <f>N25</f>
        <v>2000</v>
      </c>
      <c r="E52" s="26"/>
    </row>
    <row r="53" spans="1:18" x14ac:dyDescent="0.2">
      <c r="A53" s="27"/>
      <c r="B53" s="27"/>
      <c r="C53" s="27"/>
      <c r="D53" s="27"/>
      <c r="E53" s="26"/>
    </row>
    <row r="54" spans="1:18" x14ac:dyDescent="0.2">
      <c r="A54" s="33" t="s">
        <v>11</v>
      </c>
      <c r="B54" s="34"/>
      <c r="C54" s="37">
        <f>O26</f>
        <v>11000</v>
      </c>
      <c r="D54" s="38" t="s">
        <v>39</v>
      </c>
      <c r="E54" s="26"/>
      <c r="Q54" t="s">
        <v>37</v>
      </c>
      <c r="R54">
        <v>9623.36</v>
      </c>
    </row>
  </sheetData>
  <mergeCells count="5">
    <mergeCell ref="O26:P26"/>
    <mergeCell ref="C20:H23"/>
    <mergeCell ref="C25:H25"/>
    <mergeCell ref="A4:B4"/>
    <mergeCell ref="M26:N26"/>
  </mergeCells>
  <phoneticPr fontId="3" type="noConversion"/>
  <dataValidations disablePrompts="1" count="1">
    <dataValidation type="list" allowBlank="1" showInputMessage="1" showErrorMessage="1" sqref="A7:A13 A21:A23 A18:A19 A15:A16" xr:uid="{2EADF152-B27B-8B4B-A319-99D958029C20}">
      <formula1>$P$3:$P$6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2026-04-27T10:28:45Z</dcterms:created>
  <dcterms:modified xsi:type="dcterms:W3CDTF">2026-04-27T17:53:09Z</dcterms:modified>
</cp:coreProperties>
</file>